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
    </mc:Choice>
  </mc:AlternateContent>
  <bookViews>
    <workbookView xWindow="0" yWindow="0" windowWidth="19200" windowHeight="7050" activeTab="2"/>
  </bookViews>
  <sheets>
    <sheet name="Sheet1" sheetId="12" r:id="rId1"/>
    <sheet name="Pivot Table1" sheetId="13" r:id="rId2"/>
    <sheet name="Dashboard" sheetId="15" r:id="rId3"/>
  </sheets>
  <definedNames>
    <definedName name="ExternalData_1" localSheetId="0" hidden="1">Sheet1!$A$1:$H$26</definedName>
    <definedName name="Slicer_Months">#N/A</definedName>
  </definedNames>
  <calcPr calcId="162913"/>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Table2" description="Connection to the 'Table2' query in the workbook." type="5" refreshedVersion="6"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<sst xmlns="http://schemas.openxmlformats.org/spreadsheetml/2006/main" count="119" uniqueCount="30">
  <si>
    <t>Order ID</t>
  </si>
  <si>
    <t>Product</t>
  </si>
  <si>
    <t>Category</t>
  </si>
  <si>
    <t>Region</t>
  </si>
  <si>
    <t>Sales</t>
  </si>
  <si>
    <t>Profit</t>
  </si>
  <si>
    <t>Laptop</t>
  </si>
  <si>
    <t>Technology</t>
  </si>
  <si>
    <t>West</t>
  </si>
  <si>
    <t>Phone</t>
  </si>
  <si>
    <t>East</t>
  </si>
  <si>
    <t>Chair</t>
  </si>
  <si>
    <t>Furniture</t>
  </si>
  <si>
    <t>South</t>
  </si>
  <si>
    <t>Table</t>
  </si>
  <si>
    <t>North</t>
  </si>
  <si>
    <t>Headphones</t>
  </si>
  <si>
    <t>Keyboard</t>
  </si>
  <si>
    <t>Mouse</t>
  </si>
  <si>
    <t>Sofa</t>
  </si>
  <si>
    <t>Bed</t>
  </si>
  <si>
    <t>Tablet</t>
  </si>
  <si>
    <t>Profit Margin</t>
  </si>
  <si>
    <t>Sum of Sales</t>
  </si>
  <si>
    <t>Row Labels</t>
  </si>
  <si>
    <t>Grand Total</t>
  </si>
  <si>
    <t xml:space="preserve">Date </t>
  </si>
  <si>
    <t>Sum of Profit</t>
  </si>
  <si>
    <t>Column Labels</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</si>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</sst>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iim.xlsx]Pivot Table1!PivotTable12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Profit</a:t>
            </a:r>
            <a:r>
              <a:rPr lang="en-US" baseline="0"/>
              <a:t> </a:t>
            </a:r>
            <a:r>
              <a:rPr lang="en-US"/>
              <a:t> by region</a:t>
            </a:r>
          </a:p>
        </c:rich>
      </c:tx>
      <c:layout>
        <c:manualLayout>
          <c:xMode val="edge"/>
          <c:yMode val="edge"/>
          <c:x val="0.31364609053497944"/>
          <c:y val="0.14879958187044801"/>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6.2353858144971576E-3"/>
              <c:y val="0.11535376259785698"/>
            </c:manualLayout>
          </c:layout>
          <c:dLblPos val="outEnd"/>
          <c:showLegendKey val="0"/>
          <c:showVal val="1"/>
          <c:showCatName val="1"/>
          <c:showSerName val="0"/>
          <c:showPercent val="0"/>
          <c:showBubbleSize val="0"/>
          <c:extLst>
            <c:ext xmlns:c15="http://schemas.microsoft.com/office/drawing/2012/chart" uri="{CE6537A1-D6FC-4f65-9D91-7224C49458BB}">
              <c15:layout>
                <c:manualLayout>
                  <c:w val="0.1780514419329696"/>
                  <c:h val="8.0721727965822443E-2"/>
                </c:manualLayout>
              </c15:layout>
            </c:ext>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8227628149435276E-2"/>
          <c:y val="0.22128054927390131"/>
          <c:w val="0.78312183175191719"/>
          <c:h val="0.54897365337983273"/>
        </c:manualLayout>
      </c:layout>
      <c:barChart>
        <c:barDir val="col"/>
        <c:grouping val="clustered"/>
        <c:varyColors val="0"/>
        <c:ser>
          <c:idx val="0"/>
          <c:order val="0"/>
          <c:tx>
            <c:strRef>
              <c:f>'Pivot Table1'!$B$18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dk1">
                          <a:lumMod val="50000"/>
                          <a:lumOff val="50000"/>
                        </a:schemeClr>
                      </a:solidFill>
                    </a:ln>
                    <a:effectLst/>
                  </c:spPr>
                </c15:leaderLines>
              </c:ext>
            </c:extLst>
          </c:dLbls>
          <c:cat>
            <c:strRef>
              <c:f>'Pivot Table1'!$A$19:$A$23</c:f>
              <c:strCache>
                <c:ptCount val="4"/>
                <c:pt idx="0">
                  <c:v>East</c:v>
                </c:pt>
                <c:pt idx="1">
                  <c:v>North</c:v>
                </c:pt>
                <c:pt idx="2">
                  <c:v>South</c:v>
                </c:pt>
                <c:pt idx="3">
                  <c:v>West</c:v>
                </c:pt>
              </c:strCache>
            </c:strRef>
          </c:cat>
          <c:val>
            <c:numRef>
              <c:f>'Pivot Table1'!$B$19:$B$23</c:f>
              <c:numCache>
                <c:formatCode>General</c:formatCode>
                <c:ptCount val="4"/>
                <c:pt idx="0">
                  <c:v>1100</c:v>
                </c:pt>
                <c:pt idx="1">
                  <c:v>11300</c:v>
                </c:pt>
                <c:pt idx="2">
                  <c:v>4800</c:v>
                </c:pt>
                <c:pt idx="3">
                  <c:v>2300</c:v>
                </c:pt>
              </c:numCache>
            </c:numRef>
          </c:val>
          <c:extLst>
            <c:ext xmlns:c16="http://schemas.microsoft.com/office/drawing/2014/chart" uri="{C3380CC4-5D6E-409C-BE32-E72D297353CC}">
              <c16:uniqueId val="{00000002-A601-426B-8126-50BB6CF7753C}"/>
            </c:ext>
          </c:extLst>
        </c:ser>
        <c:dLbls>
          <c:showLegendKey val="0"/>
          <c:showVal val="0"/>
          <c:showCatName val="0"/>
          <c:showSerName val="0"/>
          <c:showPercent val="0"/>
          <c:showBubbleSize val="0"/>
        </c:dLbls>
        <c:gapWidth val="41"/>
        <c:axId val="981360912"/>
        <c:axId val="981360080"/>
      </c:barChart>
      <c:catAx>
        <c:axId val="981360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81360080"/>
        <c:crosses val="autoZero"/>
        <c:auto val="1"/>
        <c:lblAlgn val="ctr"/>
        <c:lblOffset val="100"/>
        <c:noMultiLvlLbl val="0"/>
      </c:catAx>
      <c:valAx>
        <c:axId val="981360080"/>
        <c:scaling>
          <c:orientation val="minMax"/>
        </c:scaling>
        <c:delete val="1"/>
        <c:axPos val="l"/>
        <c:numFmt formatCode="General" sourceLinked="1"/>
        <c:majorTickMark val="none"/>
        <c:minorTickMark val="none"/>
        <c:tickLblPos val="nextTo"/>
        <c:crossAx val="9813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iim.xlsx]Pivot Table1!PivotTable13</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613648293963256"/>
          <c:y val="7.407407407407407E-2"/>
          <c:w val="0.73184514435695536"/>
          <c:h val="0.8416746864975212"/>
        </c:manualLayout>
      </c:layout>
      <c:bar3DChart>
        <c:barDir val="col"/>
        <c:grouping val="stacked"/>
        <c:varyColors val="0"/>
        <c:ser>
          <c:idx val="0"/>
          <c:order val="0"/>
          <c:tx>
            <c:strRef>
              <c:f>'Pivot Table1'!$B$30:$B$31</c:f>
              <c:strCache>
                <c:ptCount val="1"/>
                <c:pt idx="0">
                  <c:v>East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Table1'!$A$32:$A$34</c:f>
              <c:strCache>
                <c:ptCount val="2"/>
                <c:pt idx="0">
                  <c:v>Furniture</c:v>
                </c:pt>
                <c:pt idx="1">
                  <c:v>Technology</c:v>
                </c:pt>
              </c:strCache>
            </c:strRef>
          </c:cat>
          <c:val>
            <c:numRef>
              <c:f>'Pivot Table1'!$B$32:$B$34</c:f>
              <c:numCache>
                <c:formatCode>General</c:formatCode>
                <c:ptCount val="2"/>
                <c:pt idx="0">
                  <c:v>7500</c:v>
                </c:pt>
              </c:numCache>
            </c:numRef>
          </c:val>
          <c:extLst>
            <c:ext xmlns:c16="http://schemas.microsoft.com/office/drawing/2014/chart" uri="{C3380CC4-5D6E-409C-BE32-E72D297353CC}">
              <c16:uniqueId val="{00000000-807A-4CB3-84EA-1315FFC47BC3}"/>
            </c:ext>
          </c:extLst>
        </c:ser>
        <c:ser>
          <c:idx val="1"/>
          <c:order val="1"/>
          <c:tx>
            <c:strRef>
              <c:f>'Pivot Table1'!$C$30:$C$31</c:f>
              <c:strCache>
                <c:ptCount val="1"/>
                <c:pt idx="0">
                  <c:v>North</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Table1'!$A$32:$A$34</c:f>
              <c:strCache>
                <c:ptCount val="2"/>
                <c:pt idx="0">
                  <c:v>Furniture</c:v>
                </c:pt>
                <c:pt idx="1">
                  <c:v>Technology</c:v>
                </c:pt>
              </c:strCache>
            </c:strRef>
          </c:cat>
          <c:val>
            <c:numRef>
              <c:f>'Pivot Table1'!$C$32:$C$34</c:f>
              <c:numCache>
                <c:formatCode>General</c:formatCode>
                <c:ptCount val="2"/>
                <c:pt idx="1">
                  <c:v>65500</c:v>
                </c:pt>
              </c:numCache>
            </c:numRef>
          </c:val>
          <c:extLst>
            <c:ext xmlns:c16="http://schemas.microsoft.com/office/drawing/2014/chart" uri="{C3380CC4-5D6E-409C-BE32-E72D297353CC}">
              <c16:uniqueId val="{00000001-807A-4CB3-84EA-1315FFC47BC3}"/>
            </c:ext>
          </c:extLst>
        </c:ser>
        <c:ser>
          <c:idx val="2"/>
          <c:order val="2"/>
          <c:tx>
            <c:strRef>
              <c:f>'Pivot Table1'!$D$30:$D$31</c:f>
              <c:strCache>
                <c:ptCount val="1"/>
                <c:pt idx="0">
                  <c:v>South</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Table1'!$A$32:$A$34</c:f>
              <c:strCache>
                <c:ptCount val="2"/>
                <c:pt idx="0">
                  <c:v>Furniture</c:v>
                </c:pt>
                <c:pt idx="1">
                  <c:v>Technology</c:v>
                </c:pt>
              </c:strCache>
            </c:strRef>
          </c:cat>
          <c:val>
            <c:numRef>
              <c:f>'Pivot Table1'!$D$32:$D$34</c:f>
              <c:numCache>
                <c:formatCode>General</c:formatCode>
                <c:ptCount val="2"/>
                <c:pt idx="1">
                  <c:v>28000</c:v>
                </c:pt>
              </c:numCache>
            </c:numRef>
          </c:val>
          <c:extLst>
            <c:ext xmlns:c16="http://schemas.microsoft.com/office/drawing/2014/chart" uri="{C3380CC4-5D6E-409C-BE32-E72D297353CC}">
              <c16:uniqueId val="{00000002-807A-4CB3-84EA-1315FFC47BC3}"/>
            </c:ext>
          </c:extLst>
        </c:ser>
        <c:ser>
          <c:idx val="3"/>
          <c:order val="3"/>
          <c:tx>
            <c:strRef>
              <c:f>'Pivot Table1'!$E$30:$E$31</c:f>
              <c:strCache>
                <c:ptCount val="1"/>
                <c:pt idx="0">
                  <c:v>West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Table1'!$A$32:$A$34</c:f>
              <c:strCache>
                <c:ptCount val="2"/>
                <c:pt idx="0">
                  <c:v>Furniture</c:v>
                </c:pt>
                <c:pt idx="1">
                  <c:v>Technology</c:v>
                </c:pt>
              </c:strCache>
            </c:strRef>
          </c:cat>
          <c:val>
            <c:numRef>
              <c:f>'Pivot Table1'!$E$32:$E$34</c:f>
              <c:numCache>
                <c:formatCode>General</c:formatCode>
                <c:ptCount val="2"/>
                <c:pt idx="0">
                  <c:v>14000</c:v>
                </c:pt>
              </c:numCache>
            </c:numRef>
          </c:val>
          <c:extLst>
            <c:ext xmlns:c16="http://schemas.microsoft.com/office/drawing/2014/chart" uri="{C3380CC4-5D6E-409C-BE32-E72D297353CC}">
              <c16:uniqueId val="{00000003-807A-4CB3-84EA-1315FFC47BC3}"/>
            </c:ext>
          </c:extLst>
        </c:ser>
        <c:dLbls>
          <c:showLegendKey val="0"/>
          <c:showVal val="1"/>
          <c:showCatName val="0"/>
          <c:showSerName val="0"/>
          <c:showPercent val="0"/>
          <c:showBubbleSize val="0"/>
        </c:dLbls>
        <c:gapWidth val="150"/>
        <c:shape val="box"/>
        <c:axId val="1275934192"/>
        <c:axId val="1275935856"/>
        <c:axId val="0"/>
      </c:bar3DChart>
      <c:catAx>
        <c:axId val="1275934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935856"/>
        <c:crosses val="autoZero"/>
        <c:auto val="1"/>
        <c:lblAlgn val="ctr"/>
        <c:lblOffset val="100"/>
        <c:noMultiLvlLbl val="0"/>
      </c:catAx>
      <c:valAx>
        <c:axId val="1275935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93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iim.xlsx]Pivot Table1!PivotTable31</c:name>
    <c:fmtId val="2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Table1'!$B$47</c:f>
              <c:strCache>
                <c:ptCount val="1"/>
                <c:pt idx="0">
                  <c:v>Sum of Profit</c:v>
                </c:pt>
              </c:strCache>
            </c:strRef>
          </c:tx>
          <c:spPr>
            <a:solidFill>
              <a:schemeClr val="accent1"/>
            </a:solidFill>
            <a:ln>
              <a:noFill/>
            </a:ln>
            <a:effectLst/>
          </c:spPr>
          <c:invertIfNegative val="0"/>
          <c:cat>
            <c:strRef>
              <c:f>'Pivot Table1'!$A$48:$A$53</c:f>
              <c:strCache>
                <c:ptCount val="5"/>
                <c:pt idx="0">
                  <c:v>Chair</c:v>
                </c:pt>
                <c:pt idx="1">
                  <c:v>Headphones</c:v>
                </c:pt>
                <c:pt idx="2">
                  <c:v>Laptop</c:v>
                </c:pt>
                <c:pt idx="3">
                  <c:v>Phone</c:v>
                </c:pt>
                <c:pt idx="4">
                  <c:v>Table</c:v>
                </c:pt>
              </c:strCache>
            </c:strRef>
          </c:cat>
          <c:val>
            <c:numRef>
              <c:f>'Pivot Table1'!$B$48:$B$53</c:f>
              <c:numCache>
                <c:formatCode>General</c:formatCode>
                <c:ptCount val="5"/>
                <c:pt idx="0">
                  <c:v>1100</c:v>
                </c:pt>
                <c:pt idx="1">
                  <c:v>1300</c:v>
                </c:pt>
                <c:pt idx="2">
                  <c:v>10000</c:v>
                </c:pt>
                <c:pt idx="3">
                  <c:v>4800</c:v>
                </c:pt>
                <c:pt idx="4">
                  <c:v>2300</c:v>
                </c:pt>
              </c:numCache>
            </c:numRef>
          </c:val>
          <c:extLst>
            <c:ext xmlns:c16="http://schemas.microsoft.com/office/drawing/2014/chart" uri="{C3380CC4-5D6E-409C-BE32-E72D297353CC}">
              <c16:uniqueId val="{00000000-1ADC-424A-B998-884B9941127E}"/>
            </c:ext>
          </c:extLst>
        </c:ser>
        <c:ser>
          <c:idx val="1"/>
          <c:order val="1"/>
          <c:tx>
            <c:strRef>
              <c:f>'Pivot Table1'!$C$47</c:f>
              <c:strCache>
                <c:ptCount val="1"/>
                <c:pt idx="0">
                  <c:v>Sum of Sales</c:v>
                </c:pt>
              </c:strCache>
            </c:strRef>
          </c:tx>
          <c:spPr>
            <a:solidFill>
              <a:schemeClr val="accent2"/>
            </a:solidFill>
            <a:ln>
              <a:noFill/>
            </a:ln>
            <a:effectLst/>
          </c:spPr>
          <c:invertIfNegative val="0"/>
          <c:cat>
            <c:strRef>
              <c:f>'Pivot Table1'!$A$48:$A$53</c:f>
              <c:strCache>
                <c:ptCount val="5"/>
                <c:pt idx="0">
                  <c:v>Chair</c:v>
                </c:pt>
                <c:pt idx="1">
                  <c:v>Headphones</c:v>
                </c:pt>
                <c:pt idx="2">
                  <c:v>Laptop</c:v>
                </c:pt>
                <c:pt idx="3">
                  <c:v>Phone</c:v>
                </c:pt>
                <c:pt idx="4">
                  <c:v>Table</c:v>
                </c:pt>
              </c:strCache>
            </c:strRef>
          </c:cat>
          <c:val>
            <c:numRef>
              <c:f>'Pivot Table1'!$C$48:$C$53</c:f>
              <c:numCache>
                <c:formatCode>General</c:formatCode>
                <c:ptCount val="5"/>
                <c:pt idx="0">
                  <c:v>7500</c:v>
                </c:pt>
                <c:pt idx="1">
                  <c:v>5500</c:v>
                </c:pt>
                <c:pt idx="2">
                  <c:v>60000</c:v>
                </c:pt>
                <c:pt idx="3">
                  <c:v>28000</c:v>
                </c:pt>
                <c:pt idx="4">
                  <c:v>14000</c:v>
                </c:pt>
              </c:numCache>
            </c:numRef>
          </c:val>
          <c:extLst>
            <c:ext xmlns:c16="http://schemas.microsoft.com/office/drawing/2014/chart" uri="{C3380CC4-5D6E-409C-BE32-E72D297353CC}">
              <c16:uniqueId val="{00000001-1ADC-424A-B998-884B9941127E}"/>
            </c:ext>
          </c:extLst>
        </c:ser>
        <c:dLbls>
          <c:showLegendKey val="0"/>
          <c:showVal val="0"/>
          <c:showCatName val="0"/>
          <c:showSerName val="0"/>
          <c:showPercent val="0"/>
          <c:showBubbleSize val="0"/>
        </c:dLbls>
        <c:gapWidth val="219"/>
        <c:overlap val="-27"/>
        <c:axId val="1103455888"/>
        <c:axId val="1103448400"/>
      </c:barChart>
      <c:catAx>
        <c:axId val="110345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448400"/>
        <c:crosses val="autoZero"/>
        <c:auto val="1"/>
        <c:lblAlgn val="ctr"/>
        <c:lblOffset val="100"/>
        <c:noMultiLvlLbl val="0"/>
      </c:catAx>
      <c:valAx>
        <c:axId val="110344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45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iim.xlsx]Pivot Table1!PivotTable34</c:name>
    <c:fmtId val="2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Table1'!$B$66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B54-4459-A658-F35C2BD1DA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B54-4459-A658-F35C2BD1DAA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Table1'!$A$67:$A$69</c:f>
              <c:strCache>
                <c:ptCount val="2"/>
                <c:pt idx="0">
                  <c:v>Furniture</c:v>
                </c:pt>
                <c:pt idx="1">
                  <c:v>Technology</c:v>
                </c:pt>
              </c:strCache>
            </c:strRef>
          </c:cat>
          <c:val>
            <c:numRef>
              <c:f>'Pivot Table1'!$B$67:$B$69</c:f>
              <c:numCache>
                <c:formatCode>General</c:formatCode>
                <c:ptCount val="2"/>
                <c:pt idx="0">
                  <c:v>21500</c:v>
                </c:pt>
                <c:pt idx="1">
                  <c:v>93500</c:v>
                </c:pt>
              </c:numCache>
            </c:numRef>
          </c:val>
          <c:extLst>
            <c:ext xmlns:c16="http://schemas.microsoft.com/office/drawing/2014/chart" uri="{C3380CC4-5D6E-409C-BE32-E72D297353CC}">
              <c16:uniqueId val="{00000000-43B8-4836-AE51-90099FAB851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iim.xlsx]Pivot Table1!PivotTable34</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layout>
        <c:manualLayout>
          <c:xMode val="edge"/>
          <c:yMode val="edge"/>
          <c:x val="0.19316186727912121"/>
          <c:y val="1.542600678987227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4441674490313705"/>
              <c:y val="-0.1041255458316378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26337136421415"/>
                  <c:h val="0.2361339025975209"/>
                </c:manualLayout>
              </c15:layout>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640788861703284"/>
              <c:y val="-5.7847525462021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081891832973071"/>
                  <c:h val="0.25927291278232933"/>
                </c:manualLayout>
              </c15:layout>
            </c:ext>
          </c:extLst>
        </c:dLbl>
      </c:pivotFmt>
    </c:pivotFmts>
    <c:plotArea>
      <c:layout>
        <c:manualLayout>
          <c:layoutTarget val="inner"/>
          <c:xMode val="edge"/>
          <c:yMode val="edge"/>
          <c:x val="0.3121254274504866"/>
          <c:y val="0.34046958222243817"/>
          <c:w val="0.26796046271556162"/>
          <c:h val="0.4962673922153325"/>
        </c:manualLayout>
      </c:layout>
      <c:doughnutChart>
        <c:varyColors val="1"/>
        <c:ser>
          <c:idx val="0"/>
          <c:order val="0"/>
          <c:tx>
            <c:strRef>
              <c:f>'Pivot Table1'!$B$66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44A-4C44-B0A6-B88C6211B7E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44A-4C44-B0A6-B88C6211B7E1}"/>
              </c:ext>
            </c:extLst>
          </c:dPt>
          <c:dLbls>
            <c:dLbl>
              <c:idx val="0"/>
              <c:layout>
                <c:manualLayout>
                  <c:x val="0.14441674490313705"/>
                  <c:y val="-0.1041255458316378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326337136421415"/>
                      <c:h val="0.2361339025975209"/>
                    </c:manualLayout>
                  </c15:layout>
                </c:ext>
                <c:ext xmlns:c16="http://schemas.microsoft.com/office/drawing/2014/chart" uri="{C3380CC4-5D6E-409C-BE32-E72D297353CC}">
                  <c16:uniqueId val="{00000001-944A-4C44-B0A6-B88C6211B7E1}"/>
                </c:ext>
              </c:extLst>
            </c:dLbl>
            <c:dLbl>
              <c:idx val="1"/>
              <c:layout>
                <c:manualLayout>
                  <c:x val="-0.1640788861703284"/>
                  <c:y val="-5.7847525462021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081891832973071"/>
                      <c:h val="0.25927291278232933"/>
                    </c:manualLayout>
                  </c15:layout>
                </c:ext>
                <c:ext xmlns:c16="http://schemas.microsoft.com/office/drawing/2014/chart" uri="{C3380CC4-5D6E-409C-BE32-E72D297353CC}">
                  <c16:uniqueId val="{00000003-944A-4C44-B0A6-B88C6211B7E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Table1'!$A$67:$A$69</c:f>
              <c:strCache>
                <c:ptCount val="2"/>
                <c:pt idx="0">
                  <c:v>Furniture</c:v>
                </c:pt>
                <c:pt idx="1">
                  <c:v>Technology</c:v>
                </c:pt>
              </c:strCache>
            </c:strRef>
          </c:cat>
          <c:val>
            <c:numRef>
              <c:f>'Pivot Table1'!$B$67:$B$69</c:f>
              <c:numCache>
                <c:formatCode>General</c:formatCode>
                <c:ptCount val="2"/>
                <c:pt idx="0">
                  <c:v>21500</c:v>
                </c:pt>
                <c:pt idx="1">
                  <c:v>93500</c:v>
                </c:pt>
              </c:numCache>
            </c:numRef>
          </c:val>
          <c:extLst>
            <c:ext xmlns:c16="http://schemas.microsoft.com/office/drawing/2014/chart" uri="{C3380CC4-5D6E-409C-BE32-E72D297353CC}">
              <c16:uniqueId val="{00000004-944A-4C44-B0A6-B88C6211B7E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iim.xlsx]Pivot Table1!PivotTable12</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Profit</a:t>
            </a:r>
            <a:r>
              <a:rPr lang="en-US" baseline="0"/>
              <a:t> </a:t>
            </a:r>
            <a:r>
              <a:rPr lang="en-US"/>
              <a:t> by region</a:t>
            </a:r>
          </a:p>
        </c:rich>
      </c:tx>
      <c:layout>
        <c:manualLayout>
          <c:xMode val="edge"/>
          <c:yMode val="edge"/>
          <c:x val="0.44491279754684743"/>
          <c:y val="1.9703863972318795E-3"/>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6.2353858144971576E-3"/>
              <c:y val="0.11535376259785698"/>
            </c:manualLayout>
          </c:layout>
          <c:dLblPos val="outEnd"/>
          <c:showLegendKey val="0"/>
          <c:showVal val="1"/>
          <c:showCatName val="1"/>
          <c:showSerName val="0"/>
          <c:showPercent val="0"/>
          <c:showBubbleSize val="0"/>
          <c:extLst>
            <c:ext xmlns:c15="http://schemas.microsoft.com/office/drawing/2012/chart" uri="{CE6537A1-D6FC-4f65-9D91-7224C49458BB}">
              <c15:layout>
                <c:manualLayout>
                  <c:w val="0.1780514419329696"/>
                  <c:h val="8.0721727965822443E-2"/>
                </c:manualLayout>
              </c15:layout>
            </c:ext>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8.8484179993263301E-2"/>
              <c:y val="1.4962604499571939E-2"/>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1.9512964495258139E-17"/>
              <c:y val="-9.9389725252491956E-2"/>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4.2574232532414128E-3"/>
              <c:y val="-8.2308088273751093E-2"/>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1.7029693012964951E-2"/>
              <c:y val="9.563228262575045E-2"/>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11243767201824853"/>
          <c:y val="0.3004759427327206"/>
          <c:w val="0.77306657122405154"/>
          <c:h val="0.54431662716534679"/>
        </c:manualLayout>
      </c:layout>
      <c:barChart>
        <c:barDir val="col"/>
        <c:grouping val="clustered"/>
        <c:varyColors val="0"/>
        <c:ser>
          <c:idx val="0"/>
          <c:order val="0"/>
          <c:tx>
            <c:strRef>
              <c:f>'Pivot Table1'!$B$18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C094-4EC5-A208-468A06A97F82}"/>
              </c:ext>
            </c:extLst>
          </c:dPt>
          <c:dPt>
            <c:idx val="1"/>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C094-4EC5-A208-468A06A97F82}"/>
              </c:ext>
            </c:extLst>
          </c:dPt>
          <c:dPt>
            <c:idx val="2"/>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4-C094-4EC5-A208-468A06A97F82}"/>
              </c:ext>
            </c:extLst>
          </c:dPt>
          <c:dPt>
            <c:idx val="3"/>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C094-4EC5-A208-468A06A97F82}"/>
              </c:ext>
            </c:extLst>
          </c:dPt>
          <c:dLbls>
            <c:dLbl>
              <c:idx val="0"/>
              <c:layout>
                <c:manualLayout>
                  <c:x val="-1.9512964495258139E-17"/>
                  <c:y val="-9.9389725252491956E-2"/>
                </c:manualLayout>
              </c:layout>
              <c:dLblPos val="outEnd"/>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094-4EC5-A208-468A06A97F82}"/>
                </c:ext>
              </c:extLst>
            </c:dLbl>
            <c:dLbl>
              <c:idx val="1"/>
              <c:layout>
                <c:manualLayout>
                  <c:x val="-8.8484179993263301E-2"/>
                  <c:y val="1.4962604499571939E-2"/>
                </c:manualLayout>
              </c:layout>
              <c:dLblPos val="outEnd"/>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094-4EC5-A208-468A06A97F82}"/>
                </c:ext>
              </c:extLst>
            </c:dLbl>
            <c:dLbl>
              <c:idx val="2"/>
              <c:layout>
                <c:manualLayout>
                  <c:x val="1.7029693012964951E-2"/>
                  <c:y val="9.563228262575045E-2"/>
                </c:manualLayout>
              </c:layout>
              <c:dLblPos val="outEnd"/>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094-4EC5-A208-468A06A97F82}"/>
                </c:ext>
              </c:extLst>
            </c:dLbl>
            <c:dLbl>
              <c:idx val="3"/>
              <c:layout>
                <c:manualLayout>
                  <c:x val="-4.2574232532414128E-3"/>
                  <c:y val="-8.2308088273751093E-2"/>
                </c:manualLayout>
              </c:layout>
              <c:dLblPos val="outEnd"/>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094-4EC5-A208-468A06A97F82}"/>
                </c:ext>
              </c:extLst>
            </c:dLbl>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dk1">
                          <a:lumMod val="50000"/>
                          <a:lumOff val="50000"/>
                        </a:schemeClr>
                      </a:solidFill>
                    </a:ln>
                    <a:effectLst/>
                  </c:spPr>
                </c15:leaderLines>
              </c:ext>
            </c:extLst>
          </c:dLbls>
          <c:cat>
            <c:strRef>
              <c:f>'Pivot Table1'!$A$19:$A$23</c:f>
              <c:strCache>
                <c:ptCount val="4"/>
                <c:pt idx="0">
                  <c:v>East</c:v>
                </c:pt>
                <c:pt idx="1">
                  <c:v>North</c:v>
                </c:pt>
                <c:pt idx="2">
                  <c:v>South</c:v>
                </c:pt>
                <c:pt idx="3">
                  <c:v>West</c:v>
                </c:pt>
              </c:strCache>
            </c:strRef>
          </c:cat>
          <c:val>
            <c:numRef>
              <c:f>'Pivot Table1'!$B$19:$B$23</c:f>
              <c:numCache>
                <c:formatCode>General</c:formatCode>
                <c:ptCount val="4"/>
                <c:pt idx="0">
                  <c:v>1100</c:v>
                </c:pt>
                <c:pt idx="1">
                  <c:v>11300</c:v>
                </c:pt>
                <c:pt idx="2">
                  <c:v>4800</c:v>
                </c:pt>
                <c:pt idx="3">
                  <c:v>2300</c:v>
                </c:pt>
              </c:numCache>
            </c:numRef>
          </c:val>
          <c:extLst>
            <c:ext xmlns:c16="http://schemas.microsoft.com/office/drawing/2014/chart" uri="{C3380CC4-5D6E-409C-BE32-E72D297353CC}">
              <c16:uniqueId val="{00000000-C094-4EC5-A208-468A06A97F82}"/>
            </c:ext>
          </c:extLst>
        </c:ser>
        <c:dLbls>
          <c:showLegendKey val="0"/>
          <c:showVal val="0"/>
          <c:showCatName val="0"/>
          <c:showSerName val="0"/>
          <c:showPercent val="0"/>
          <c:showBubbleSize val="0"/>
        </c:dLbls>
        <c:gapWidth val="41"/>
        <c:axId val="981360912"/>
        <c:axId val="981360080"/>
      </c:barChart>
      <c:catAx>
        <c:axId val="981360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81360080"/>
        <c:crosses val="autoZero"/>
        <c:auto val="1"/>
        <c:lblAlgn val="ctr"/>
        <c:lblOffset val="100"/>
        <c:noMultiLvlLbl val="0"/>
      </c:catAx>
      <c:valAx>
        <c:axId val="981360080"/>
        <c:scaling>
          <c:orientation val="minMax"/>
        </c:scaling>
        <c:delete val="1"/>
        <c:axPos val="l"/>
        <c:numFmt formatCode="General" sourceLinked="1"/>
        <c:majorTickMark val="none"/>
        <c:minorTickMark val="none"/>
        <c:tickLblPos val="nextTo"/>
        <c:crossAx val="981360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iim.xlsx]Pivot Table1!PivotTable31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Profit and Sales by Product</a:t>
            </a:r>
            <a:endParaRPr lang="en-US"/>
          </a:p>
        </c:rich>
      </c:tx>
      <c:layout>
        <c:manualLayout>
          <c:xMode val="edge"/>
          <c:yMode val="edge"/>
          <c:x val="0.16026512348607028"/>
          <c:y val="1.0624169986719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15308954741538405"/>
          <c:y val="0.13280212483399734"/>
          <c:w val="0.60188034206728813"/>
          <c:h val="0.6624161621231609"/>
        </c:manualLayout>
      </c:layout>
      <c:barChart>
        <c:barDir val="col"/>
        <c:grouping val="clustered"/>
        <c:varyColors val="0"/>
        <c:ser>
          <c:idx val="0"/>
          <c:order val="0"/>
          <c:tx>
            <c:strRef>
              <c:f>'Pivot Table1'!$B$47</c:f>
              <c:strCache>
                <c:ptCount val="1"/>
                <c:pt idx="0">
                  <c:v>Sum of Profit</c:v>
                </c:pt>
              </c:strCache>
            </c:strRef>
          </c:tx>
          <c:spPr>
            <a:solidFill>
              <a:schemeClr val="accent1"/>
            </a:solidFill>
            <a:ln>
              <a:noFill/>
            </a:ln>
            <a:effectLst/>
          </c:spPr>
          <c:invertIfNegative val="0"/>
          <c:cat>
            <c:strRef>
              <c:f>'Pivot Table1'!$A$48:$A$53</c:f>
              <c:strCache>
                <c:ptCount val="5"/>
                <c:pt idx="0">
                  <c:v>Chair</c:v>
                </c:pt>
                <c:pt idx="1">
                  <c:v>Headphones</c:v>
                </c:pt>
                <c:pt idx="2">
                  <c:v>Laptop</c:v>
                </c:pt>
                <c:pt idx="3">
                  <c:v>Phone</c:v>
                </c:pt>
                <c:pt idx="4">
                  <c:v>Table</c:v>
                </c:pt>
              </c:strCache>
            </c:strRef>
          </c:cat>
          <c:val>
            <c:numRef>
              <c:f>'Pivot Table1'!$B$48:$B$53</c:f>
              <c:numCache>
                <c:formatCode>General</c:formatCode>
                <c:ptCount val="5"/>
                <c:pt idx="0">
                  <c:v>1100</c:v>
                </c:pt>
                <c:pt idx="1">
                  <c:v>1300</c:v>
                </c:pt>
                <c:pt idx="2">
                  <c:v>10000</c:v>
                </c:pt>
                <c:pt idx="3">
                  <c:v>4800</c:v>
                </c:pt>
                <c:pt idx="4">
                  <c:v>2300</c:v>
                </c:pt>
              </c:numCache>
            </c:numRef>
          </c:val>
          <c:extLst>
            <c:ext xmlns:c16="http://schemas.microsoft.com/office/drawing/2014/chart" uri="{C3380CC4-5D6E-409C-BE32-E72D297353CC}">
              <c16:uniqueId val="{00000000-8F5E-4D93-A918-6217F6A72095}"/>
            </c:ext>
          </c:extLst>
        </c:ser>
        <c:ser>
          <c:idx val="1"/>
          <c:order val="1"/>
          <c:tx>
            <c:strRef>
              <c:f>'Pivot Table1'!$C$47</c:f>
              <c:strCache>
                <c:ptCount val="1"/>
                <c:pt idx="0">
                  <c:v>Sum of Sales</c:v>
                </c:pt>
              </c:strCache>
            </c:strRef>
          </c:tx>
          <c:spPr>
            <a:solidFill>
              <a:schemeClr val="accent2"/>
            </a:solidFill>
            <a:ln>
              <a:noFill/>
            </a:ln>
            <a:effectLst/>
          </c:spPr>
          <c:invertIfNegative val="0"/>
          <c:cat>
            <c:strRef>
              <c:f>'Pivot Table1'!$A$48:$A$53</c:f>
              <c:strCache>
                <c:ptCount val="5"/>
                <c:pt idx="0">
                  <c:v>Chair</c:v>
                </c:pt>
                <c:pt idx="1">
                  <c:v>Headphones</c:v>
                </c:pt>
                <c:pt idx="2">
                  <c:v>Laptop</c:v>
                </c:pt>
                <c:pt idx="3">
                  <c:v>Phone</c:v>
                </c:pt>
                <c:pt idx="4">
                  <c:v>Table</c:v>
                </c:pt>
              </c:strCache>
            </c:strRef>
          </c:cat>
          <c:val>
            <c:numRef>
              <c:f>'Pivot Table1'!$C$48:$C$53</c:f>
              <c:numCache>
                <c:formatCode>General</c:formatCode>
                <c:ptCount val="5"/>
                <c:pt idx="0">
                  <c:v>7500</c:v>
                </c:pt>
                <c:pt idx="1">
                  <c:v>5500</c:v>
                </c:pt>
                <c:pt idx="2">
                  <c:v>60000</c:v>
                </c:pt>
                <c:pt idx="3">
                  <c:v>28000</c:v>
                </c:pt>
                <c:pt idx="4">
                  <c:v>14000</c:v>
                </c:pt>
              </c:numCache>
            </c:numRef>
          </c:val>
          <c:extLst>
            <c:ext xmlns:c16="http://schemas.microsoft.com/office/drawing/2014/chart" uri="{C3380CC4-5D6E-409C-BE32-E72D297353CC}">
              <c16:uniqueId val="{00000001-8F5E-4D93-A918-6217F6A72095}"/>
            </c:ext>
          </c:extLst>
        </c:ser>
        <c:dLbls>
          <c:showLegendKey val="0"/>
          <c:showVal val="0"/>
          <c:showCatName val="0"/>
          <c:showSerName val="0"/>
          <c:showPercent val="0"/>
          <c:showBubbleSize val="0"/>
        </c:dLbls>
        <c:gapWidth val="219"/>
        <c:overlap val="-27"/>
        <c:axId val="1103455888"/>
        <c:axId val="1103448400"/>
      </c:barChart>
      <c:catAx>
        <c:axId val="110345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448400"/>
        <c:crosses val="autoZero"/>
        <c:auto val="1"/>
        <c:lblAlgn val="ctr"/>
        <c:lblOffset val="100"/>
        <c:noMultiLvlLbl val="0"/>
      </c:catAx>
      <c:valAx>
        <c:axId val="110344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455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iim.xlsx]Pivot Table1!PivotTable13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 in Region</a:t>
            </a:r>
            <a:endParaRPr lang="en-US"/>
          </a:p>
        </c:rich>
      </c:tx>
      <c:layout>
        <c:manualLayout>
          <c:xMode val="edge"/>
          <c:yMode val="edge"/>
          <c:x val="0.164953859301119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613789512103227"/>
          <c:y val="4.3137621101349756E-2"/>
          <c:w val="0.73184514435695536"/>
          <c:h val="0.8416746864975212"/>
        </c:manualLayout>
      </c:layout>
      <c:bar3DChart>
        <c:barDir val="col"/>
        <c:grouping val="stacked"/>
        <c:varyColors val="0"/>
        <c:ser>
          <c:idx val="0"/>
          <c:order val="0"/>
          <c:tx>
            <c:strRef>
              <c:f>'Pivot Table1'!$B$30:$B$31</c:f>
              <c:strCache>
                <c:ptCount val="1"/>
                <c:pt idx="0">
                  <c:v>East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Table1'!$A$32:$A$34</c:f>
              <c:strCache>
                <c:ptCount val="2"/>
                <c:pt idx="0">
                  <c:v>Furniture</c:v>
                </c:pt>
                <c:pt idx="1">
                  <c:v>Technology</c:v>
                </c:pt>
              </c:strCache>
            </c:strRef>
          </c:cat>
          <c:val>
            <c:numRef>
              <c:f>'Pivot Table1'!$B$32:$B$34</c:f>
              <c:numCache>
                <c:formatCode>General</c:formatCode>
                <c:ptCount val="2"/>
                <c:pt idx="0">
                  <c:v>7500</c:v>
                </c:pt>
              </c:numCache>
            </c:numRef>
          </c:val>
          <c:extLst>
            <c:ext xmlns:c16="http://schemas.microsoft.com/office/drawing/2014/chart" uri="{C3380CC4-5D6E-409C-BE32-E72D297353CC}">
              <c16:uniqueId val="{00000000-1EE2-47DE-8408-A215E788F404}"/>
            </c:ext>
          </c:extLst>
        </c:ser>
        <c:ser>
          <c:idx val="1"/>
          <c:order val="1"/>
          <c:tx>
            <c:strRef>
              <c:f>'Pivot Table1'!$C$30:$C$31</c:f>
              <c:strCache>
                <c:ptCount val="1"/>
                <c:pt idx="0">
                  <c:v>North</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Table1'!$A$32:$A$34</c:f>
              <c:strCache>
                <c:ptCount val="2"/>
                <c:pt idx="0">
                  <c:v>Furniture</c:v>
                </c:pt>
                <c:pt idx="1">
                  <c:v>Technology</c:v>
                </c:pt>
              </c:strCache>
            </c:strRef>
          </c:cat>
          <c:val>
            <c:numRef>
              <c:f>'Pivot Table1'!$C$32:$C$34</c:f>
              <c:numCache>
                <c:formatCode>General</c:formatCode>
                <c:ptCount val="2"/>
                <c:pt idx="1">
                  <c:v>65500</c:v>
                </c:pt>
              </c:numCache>
            </c:numRef>
          </c:val>
          <c:extLst>
            <c:ext xmlns:c16="http://schemas.microsoft.com/office/drawing/2014/chart" uri="{C3380CC4-5D6E-409C-BE32-E72D297353CC}">
              <c16:uniqueId val="{00000001-1EE2-47DE-8408-A215E788F404}"/>
            </c:ext>
          </c:extLst>
        </c:ser>
        <c:ser>
          <c:idx val="2"/>
          <c:order val="2"/>
          <c:tx>
            <c:strRef>
              <c:f>'Pivot Table1'!$D$30:$D$31</c:f>
              <c:strCache>
                <c:ptCount val="1"/>
                <c:pt idx="0">
                  <c:v>South</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Table1'!$A$32:$A$34</c:f>
              <c:strCache>
                <c:ptCount val="2"/>
                <c:pt idx="0">
                  <c:v>Furniture</c:v>
                </c:pt>
                <c:pt idx="1">
                  <c:v>Technology</c:v>
                </c:pt>
              </c:strCache>
            </c:strRef>
          </c:cat>
          <c:val>
            <c:numRef>
              <c:f>'Pivot Table1'!$D$32:$D$34</c:f>
              <c:numCache>
                <c:formatCode>General</c:formatCode>
                <c:ptCount val="2"/>
                <c:pt idx="1">
                  <c:v>28000</c:v>
                </c:pt>
              </c:numCache>
            </c:numRef>
          </c:val>
          <c:extLst>
            <c:ext xmlns:c16="http://schemas.microsoft.com/office/drawing/2014/chart" uri="{C3380CC4-5D6E-409C-BE32-E72D297353CC}">
              <c16:uniqueId val="{00000002-1EE2-47DE-8408-A215E788F404}"/>
            </c:ext>
          </c:extLst>
        </c:ser>
        <c:ser>
          <c:idx val="3"/>
          <c:order val="3"/>
          <c:tx>
            <c:strRef>
              <c:f>'Pivot Table1'!$E$30:$E$31</c:f>
              <c:strCache>
                <c:ptCount val="1"/>
                <c:pt idx="0">
                  <c:v>West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Table1'!$A$32:$A$34</c:f>
              <c:strCache>
                <c:ptCount val="2"/>
                <c:pt idx="0">
                  <c:v>Furniture</c:v>
                </c:pt>
                <c:pt idx="1">
                  <c:v>Technology</c:v>
                </c:pt>
              </c:strCache>
            </c:strRef>
          </c:cat>
          <c:val>
            <c:numRef>
              <c:f>'Pivot Table1'!$E$32:$E$34</c:f>
              <c:numCache>
                <c:formatCode>General</c:formatCode>
                <c:ptCount val="2"/>
                <c:pt idx="0">
                  <c:v>14000</c:v>
                </c:pt>
              </c:numCache>
            </c:numRef>
          </c:val>
          <c:extLst>
            <c:ext xmlns:c16="http://schemas.microsoft.com/office/drawing/2014/chart" uri="{C3380CC4-5D6E-409C-BE32-E72D297353CC}">
              <c16:uniqueId val="{00000003-1EE2-47DE-8408-A215E788F404}"/>
            </c:ext>
          </c:extLst>
        </c:ser>
        <c:dLbls>
          <c:showLegendKey val="0"/>
          <c:showVal val="1"/>
          <c:showCatName val="0"/>
          <c:showSerName val="0"/>
          <c:showPercent val="0"/>
          <c:showBubbleSize val="0"/>
        </c:dLbls>
        <c:gapWidth val="150"/>
        <c:shape val="box"/>
        <c:axId val="1275934192"/>
        <c:axId val="1275935856"/>
        <c:axId val="0"/>
      </c:bar3DChart>
      <c:catAx>
        <c:axId val="1275934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935856"/>
        <c:crosses val="autoZero"/>
        <c:auto val="1"/>
        <c:lblAlgn val="ctr"/>
        <c:lblOffset val="100"/>
        <c:noMultiLvlLbl val="0"/>
      </c:catAx>
      <c:valAx>
        <c:axId val="1275935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934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457200</xdr:colOff>
      <xdr:row>0</xdr:row>
      <xdr:rowOff>0</xdr:rowOff>
    </xdr:from>
    <xdr:to>
      <xdr:col>4</xdr:col>
      <xdr:colOff>361950</xdr:colOff>
      <xdr:row>15</xdr:row>
      <xdr:rowOff>152400</xdr:rowOff>
    </xdr:to>
    <mc:AlternateContent xmlns:mc="http://schemas.openxmlformats.org/markup-compatibility/2006" xmlns:a14="http://schemas.microsoft.com/office/drawing/2010/main">
      <mc:Choice Requires="a14">
        <xdr:graphicFrame macro="">
          <xdr:nvGraphicFramePr>
            <xdr:cNvPr id="2"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108200" y="0"/>
              <a:ext cx="1098550" cy="291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403225</xdr:colOff>
      <xdr:row>16</xdr:row>
      <xdr:rowOff>88900</xdr:rowOff>
    </xdr:from>
    <xdr:to>
      <xdr:col>8</xdr:col>
      <xdr:colOff>533400</xdr:colOff>
      <xdr:row>26</xdr:row>
      <xdr:rowOff>82550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368300</xdr:colOff>
      <xdr:row>28</xdr:row>
      <xdr:rowOff>165100</xdr:rowOff>
    </xdr:from>
    <xdr:to>
      <xdr:col>12</xdr:col>
      <xdr:colOff>444500</xdr:colOff>
      <xdr:row>40</xdr:row>
      <xdr:rowOff>88900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371475</xdr:colOff>
      <xdr:row>45</xdr:row>
      <xdr:rowOff>149225</xdr:rowOff>
    </xdr:from>
    <xdr:to>
      <xdr:col>10</xdr:col>
      <xdr:colOff>368300</xdr:colOff>
      <xdr:row>58</xdr:row>
      <xdr:rowOff>146050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298450</xdr:colOff>
      <xdr:row>62</xdr:row>
      <xdr:rowOff>177799</xdr:rowOff>
    </xdr:from>
    <xdr:to>
      <xdr:col>9</xdr:col>
      <xdr:colOff>31750</xdr:colOff>
      <xdr:row>75</xdr:row>
      <xdr:rowOff>127000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463550</xdr:colOff>
      <xdr:row>1</xdr:row>
      <xdr:rowOff>147674</xdr:rowOff>
    </xdr:from>
    <xdr:to>
      <xdr:col>16</xdr:col>
      <xdr:colOff>324884</xdr:colOff>
      <xdr:row>26</xdr:row>
      <xdr:rowOff>44302</xdr:rowOff>
    </xdr:to>
    <xdr:sp macro="" textlink="">
      <xdr:nvSpPr>
        <xdr:cNvPr id="2" name="Rounded Rectangle 1"/>
        <xdr:cNvSpPr/>
      </xdr:nvSpPr>
      <xdr:spPr>
        <a:xfrm>
          <a:off x="2302097" y="332267"/>
          <a:ext cx="7828368" cy="4511454"/>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531627</xdr:colOff>
      <xdr:row>2</xdr:row>
      <xdr:rowOff>81222</xdr:rowOff>
    </xdr:from>
    <xdr:to>
      <xdr:col>16</xdr:col>
      <xdr:colOff>251046</xdr:colOff>
      <xdr:row>25</xdr:row>
      <xdr:rowOff>95988</xdr:rowOff>
    </xdr:to>
    <xdr:sp macro="" textlink="">
      <xdr:nvSpPr>
        <xdr:cNvPr id="3" name="Rounded Rectangle 2"/>
        <xdr:cNvSpPr/>
      </xdr:nvSpPr>
      <xdr:spPr>
        <a:xfrm>
          <a:off x="2370174" y="450408"/>
          <a:ext cx="7686453" cy="426040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199360</xdr:colOff>
      <xdr:row>4</xdr:row>
      <xdr:rowOff>7382</xdr:rowOff>
    </xdr:from>
    <xdr:to>
      <xdr:col>15</xdr:col>
      <xdr:colOff>575929</xdr:colOff>
      <xdr:row>12</xdr:row>
      <xdr:rowOff>177208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184592</xdr:colOff>
      <xdr:row>14</xdr:row>
      <xdr:rowOff>7383</xdr:rowOff>
    </xdr:from>
    <xdr:to>
      <xdr:col>15</xdr:col>
      <xdr:colOff>598081</xdr:colOff>
      <xdr:row>23</xdr:row>
      <xdr:rowOff>162440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568546</xdr:colOff>
      <xdr:row>14</xdr:row>
      <xdr:rowOff>22149</xdr:rowOff>
    </xdr:from>
    <xdr:to>
      <xdr:col>10</xdr:col>
      <xdr:colOff>605465</xdr:colOff>
      <xdr:row>23</xdr:row>
      <xdr:rowOff>155058</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568547</xdr:colOff>
      <xdr:row>4</xdr:row>
      <xdr:rowOff>7385</xdr:rowOff>
    </xdr:from>
    <xdr:to>
      <xdr:col>10</xdr:col>
      <xdr:colOff>553780</xdr:colOff>
      <xdr:row>12</xdr:row>
      <xdr:rowOff>147675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162440</xdr:colOff>
      <xdr:row>4</xdr:row>
      <xdr:rowOff>0</xdr:rowOff>
    </xdr:from>
    <xdr:to>
      <xdr:col>5</xdr:col>
      <xdr:colOff>391336</xdr:colOff>
      <xdr:row>23</xdr:row>
      <xdr:rowOff>132908</xdr:rowOff>
    </xdr:to>
    <mc:AlternateContent xmlns:mc="http://schemas.openxmlformats.org/markup-compatibility/2006" xmlns:a14="http://schemas.microsoft.com/office/drawing/2010/main">
      <mc:Choice Requires="a14">
        <xdr:graphicFrame macro="">
          <xdr:nvGraphicFramePr>
            <xdr:cNvPr id="13"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613835" y="738372"/>
              <a:ext cx="841745" cy="3640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73835</xdr:colOff>
      <xdr:row>1</xdr:row>
      <xdr:rowOff>162443</xdr:rowOff>
    </xdr:from>
    <xdr:to>
      <xdr:col>12</xdr:col>
      <xdr:colOff>273197</xdr:colOff>
      <xdr:row>3</xdr:row>
      <xdr:rowOff>132907</xdr:rowOff>
    </xdr:to>
    <xdr:sp macro="" textlink="">
      <xdr:nvSpPr>
        <xdr:cNvPr id="4" name="Rectangle 3"/>
        <xdr:cNvSpPr/>
      </xdr:nvSpPr>
      <xdr:spPr>
        <a:xfrm>
          <a:off x="4976626" y="347036"/>
          <a:ext cx="2650757" cy="3396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 Sales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08.821120486115" createdVersion="6" refreshedVersion="6" minRefreshableVersion="3" recordCount="25">
  <cacheSource type="worksheet">
    <worksheetSource name="Table2_2"/>
  </cacheSource>
  <cacheFields count="9">
    <cacheField name="Order ID" numFmtId="0">
      <sharedItems containsSemiMixedTypes="0" containsString="0" containsNumber="1" containsInteger="1" minValue="1001" maxValue="1025"/>
    </cacheField>
    <cacheField name="Date " numFmtId="164">
      <sharedItems containsSemiMixedTypes="0" containsNonDate="0" containsDate="1" containsString="0" minDate="2024-01-01T00:00:00" maxDate="2024-04-26T00:00:00" count="25">
        <d v="2024-01-01T00:00:00"/>
        <d v="2024-01-02T00:00:00"/>
        <d v="2024-01-03T00:00:00"/>
        <d v="2024-01-04T00:00:00"/>
        <d v="2024-01-05T00:00:00"/>
        <d v="2024-01-06T00:00:00"/>
        <d v="2024-01-07T00:00:00"/>
        <d v="2024-01-08T00:00:00"/>
        <d v="2024-01-09T00:00:00"/>
        <d v="2024-01-10T00:00:00"/>
        <d v="2024-02-11T00:00:00"/>
        <d v="2024-02-12T00:00:00"/>
        <d v="2024-02-13T00:00:00"/>
        <d v="2024-02-14T00:00:00"/>
        <d v="2024-02-15T00:00:00"/>
        <d v="2024-03-16T00:00:00"/>
        <d v="2024-03-17T00:00:00"/>
        <d v="2024-03-18T00:00:00"/>
        <d v="2024-03-19T00:00:00"/>
        <d v="2024-03-20T00:00:00"/>
        <d v="2024-04-21T00:00:00"/>
        <d v="2024-04-22T00:00:00"/>
        <d v="2024-04-23T00:00:00"/>
        <d v="2024-04-24T00:00:00"/>
        <d v="2024-04-25T00:00:00"/>
      </sharedItems>
      <fieldGroup par="8" base="1">
        <rangePr groupBy="days" startDate="2024-01-01T00:00:00" endDate="2024-04-26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26/2024"/>
        </groupItems>
      </fieldGroup>
    </cacheField>
    <cacheField name="Product" numFmtId="0">
      <sharedItems count="10">
        <s v="Laptop"/>
        <s v="Phone"/>
        <s v="Chair"/>
        <s v="Table"/>
        <s v="Headphones"/>
        <s v="Keyboard"/>
        <s v="Mouse"/>
        <s v="Sofa"/>
        <s v="Bed"/>
        <s v="Tablet"/>
      </sharedItems>
    </cacheField>
    <cacheField name="Category" numFmtId="0">
      <sharedItems count="2">
        <s v="Technology"/>
        <s v="Furniture"/>
      </sharedItems>
    </cacheField>
    <cacheField name="Region" numFmtId="0">
      <sharedItems count="4">
        <s v="West"/>
        <s v="East"/>
        <s v="South"/>
        <s v="North"/>
      </sharedItems>
    </cacheField>
    <cacheField name="Sales" numFmtId="0">
      <sharedItems containsSemiMixedTypes="0" containsString="0" containsNumber="1" containsInteger="1" minValue="2000" maxValue="60000"/>
    </cacheField>
    <cacheField name="Profit" numFmtId="0">
      <sharedItems containsSemiMixedTypes="0" containsString="0" containsNumber="1" containsInteger="1" minValue="500" maxValue="10000"/>
    </cacheField>
    <cacheField name="Profit Margin" numFmtId="0">
      <sharedItems containsSemiMixedTypes="0" containsString="0" containsNumber="1" minValue="0.14285714285714285" maxValue="0.26666666666666666"/>
    </cacheField>
    <cacheField name="Months" numFmtId="0" databaseField="0">
      <fieldGroup base="1">
        <rangePr groupBy="months" startDate="2024-01-01T00:00:00" endDate="2024-04-26T00:00:00"/>
        <groupItems count="14">
          <s v="&lt;1/1/2024"/>
          <s v="Jan"/>
          <s v="Feb"/>
          <s v="Mar"/>
          <s v="Apr"/>
          <s v="May"/>
          <s v="Jun"/>
          <s v="Jul"/>
          <s v="Aug"/>
          <s v="Sep"/>
          <s v="Oct"/>
          <s v="Nov"/>
          <s v="Dec"/>
          <s v="&gt;4/26/2024"/>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5">
  <r>
    <n v="1001"/>
    <x v="0"/>
    <x v="0"/>
    <x v="0"/>
    <x v="0"/>
    <n v="50000"/>
    <n v="8000"/>
    <n v="0.16"/>
  </r>
  <r>
    <n v="1002"/>
    <x v="1"/>
    <x v="1"/>
    <x v="0"/>
    <x v="1"/>
    <n v="30000"/>
    <n v="5000"/>
    <n v="0.16666666666666666"/>
  </r>
  <r>
    <n v="1003"/>
    <x v="2"/>
    <x v="2"/>
    <x v="1"/>
    <x v="2"/>
    <n v="7000"/>
    <n v="1000"/>
    <n v="0.14285714285714285"/>
  </r>
  <r>
    <n v="1004"/>
    <x v="3"/>
    <x v="3"/>
    <x v="1"/>
    <x v="3"/>
    <n v="12000"/>
    <n v="2000"/>
    <n v="0.16666666666666666"/>
  </r>
  <r>
    <n v="1005"/>
    <x v="4"/>
    <x v="4"/>
    <x v="0"/>
    <x v="0"/>
    <n v="5000"/>
    <n v="1200"/>
    <n v="0.24"/>
  </r>
  <r>
    <n v="1006"/>
    <x v="5"/>
    <x v="5"/>
    <x v="0"/>
    <x v="1"/>
    <n v="3000"/>
    <n v="800"/>
    <n v="0.26666666666666666"/>
  </r>
  <r>
    <n v="1007"/>
    <x v="6"/>
    <x v="6"/>
    <x v="0"/>
    <x v="2"/>
    <n v="2000"/>
    <n v="500"/>
    <n v="0.25"/>
  </r>
  <r>
    <n v="1008"/>
    <x v="7"/>
    <x v="7"/>
    <x v="1"/>
    <x v="0"/>
    <n v="25000"/>
    <n v="4000"/>
    <n v="0.16"/>
  </r>
  <r>
    <n v="1009"/>
    <x v="8"/>
    <x v="8"/>
    <x v="1"/>
    <x v="3"/>
    <n v="40000"/>
    <n v="7000"/>
    <n v="0.17499999999999999"/>
  </r>
  <r>
    <n v="1010"/>
    <x v="9"/>
    <x v="9"/>
    <x v="0"/>
    <x v="1"/>
    <n v="20000"/>
    <n v="3500"/>
    <n v="0.17499999999999999"/>
  </r>
  <r>
    <n v="1011"/>
    <x v="10"/>
    <x v="0"/>
    <x v="0"/>
    <x v="2"/>
    <n v="55000"/>
    <n v="9000"/>
    <n v="0.16363636363636364"/>
  </r>
  <r>
    <n v="1012"/>
    <x v="11"/>
    <x v="2"/>
    <x v="1"/>
    <x v="0"/>
    <n v="8000"/>
    <n v="1200"/>
    <n v="0.15"/>
  </r>
  <r>
    <n v="1013"/>
    <x v="12"/>
    <x v="1"/>
    <x v="0"/>
    <x v="3"/>
    <n v="32000"/>
    <n v="6000"/>
    <n v="0.1875"/>
  </r>
  <r>
    <n v="1014"/>
    <x v="13"/>
    <x v="3"/>
    <x v="1"/>
    <x v="2"/>
    <n v="15000"/>
    <n v="2500"/>
    <n v="0.16666666666666666"/>
  </r>
  <r>
    <n v="1015"/>
    <x v="14"/>
    <x v="4"/>
    <x v="0"/>
    <x v="1"/>
    <n v="6000"/>
    <n v="1500"/>
    <n v="0.25"/>
  </r>
  <r>
    <n v="1016"/>
    <x v="15"/>
    <x v="7"/>
    <x v="1"/>
    <x v="3"/>
    <n v="27000"/>
    <n v="4500"/>
    <n v="0.16666666666666666"/>
  </r>
  <r>
    <n v="1017"/>
    <x v="16"/>
    <x v="5"/>
    <x v="0"/>
    <x v="0"/>
    <n v="3500"/>
    <n v="900"/>
    <n v="0.25714285714285712"/>
  </r>
  <r>
    <n v="1018"/>
    <x v="17"/>
    <x v="6"/>
    <x v="0"/>
    <x v="1"/>
    <n v="2500"/>
    <n v="600"/>
    <n v="0.24"/>
  </r>
  <r>
    <n v="1019"/>
    <x v="18"/>
    <x v="8"/>
    <x v="1"/>
    <x v="2"/>
    <n v="42000"/>
    <n v="7500"/>
    <n v="0.17857142857142858"/>
  </r>
  <r>
    <n v="1020"/>
    <x v="19"/>
    <x v="9"/>
    <x v="0"/>
    <x v="0"/>
    <n v="22000"/>
    <n v="4000"/>
    <n v="0.18181818181818182"/>
  </r>
  <r>
    <n v="1021"/>
    <x v="20"/>
    <x v="0"/>
    <x v="0"/>
    <x v="3"/>
    <n v="60000"/>
    <n v="10000"/>
    <n v="0.16666666666666666"/>
  </r>
  <r>
    <n v="1022"/>
    <x v="21"/>
    <x v="2"/>
    <x v="1"/>
    <x v="1"/>
    <n v="7500"/>
    <n v="1100"/>
    <n v="0.14666666666666667"/>
  </r>
  <r>
    <n v="1023"/>
    <x v="22"/>
    <x v="1"/>
    <x v="0"/>
    <x v="2"/>
    <n v="28000"/>
    <n v="4800"/>
    <n v="0.17142857142857143"/>
  </r>
  <r>
    <n v="1024"/>
    <x v="23"/>
    <x v="3"/>
    <x v="1"/>
    <x v="0"/>
    <n v="14000"/>
    <n v="2300"/>
    <n v="0.16428571428571428"/>
  </r>
  <r>
    <n v="1025"/>
    <x v="24"/>
    <x v="4"/>
    <x v="0"/>
    <x v="3"/>
    <n v="5500"/>
    <n v="1300"/>
    <n v="0.236363636363636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9">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pivotField axis="axisRow" showAll="0" defaultSubtotal="0">
      <items count="14">
        <item h="1" sd="0" x="0"/>
        <item h="1" sd="0" x="1"/>
        <item h="1" sd="0" x="2"/>
        <item h="1" sd="0" x="3"/>
        <item sd="0" x="4"/>
        <item h="1" sd="0" x="5"/>
        <item h="1" sd="0" x="6"/>
        <item h="1" sd="0" x="7"/>
        <item h="1" sd="0" x="8"/>
        <item h="1" sd="0" x="9"/>
        <item h="1" sd="0" x="10"/>
        <item h="1" sd="0" x="11"/>
        <item h="1" sd="0" x="12"/>
        <item h="1" sd="0" x="13"/>
      </items>
    </pivotField>
  </pivotFields>
  <rowFields count="1">
    <field x="8"/>
  </rowFields>
  <rowItems count="2">
    <i>
      <x v="4"/>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A66:B69" firstHeaderRow="1" firstDataRow="1" firstDataCol="1"/>
  <pivotFields count="9">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8"/>
        <item x="2"/>
        <item x="4"/>
        <item x="5"/>
        <item x="0"/>
        <item x="6"/>
        <item x="1"/>
        <item x="7"/>
        <item x="3"/>
        <item x="9"/>
        <item t="default"/>
      </items>
    </pivotField>
    <pivotField axis="axisRow" showAll="0">
      <items count="3">
        <item x="1"/>
        <item x="0"/>
        <item t="default"/>
      </items>
    </pivotField>
    <pivotField showAll="0">
      <items count="5">
        <item x="1"/>
        <item x="3"/>
        <item x="2"/>
        <item x="0"/>
        <item t="default"/>
      </items>
    </pivotField>
    <pivotField dataField="1" showAll="0"/>
    <pivotField showAll="0"/>
    <pivotField showAll="0"/>
    <pivotField showAll="0" defaultSubtotal="0">
      <items count="14">
        <item h="1" sd="0" x="0"/>
        <item h="1" sd="0" x="1"/>
        <item h="1" sd="0" x="2"/>
        <item h="1" sd="0" x="3"/>
        <item sd="0" x="4"/>
        <item h="1" sd="0" x="5"/>
        <item h="1" sd="0" x="6"/>
        <item h="1" sd="0" x="7"/>
        <item h="1" sd="0" x="8"/>
        <item h="1" sd="0" x="9"/>
        <item h="1" sd="0" x="10"/>
        <item h="1" sd="0" x="11"/>
        <item h="1" sd="0" x="12"/>
        <item h="1" sd="0" x="13"/>
      </items>
    </pivotField>
  </pivotFields>
  <rowFields count="1">
    <field x="3"/>
  </rowFields>
  <rowItems count="3">
    <i>
      <x/>
    </i>
    <i>
      <x v="1"/>
    </i>
    <i t="grand">
      <x/>
    </i>
  </rowItems>
  <colItems count="1">
    <i/>
  </colItems>
  <dataFields count="1">
    <dataField name="Sum of Sales" fld="5" baseField="0" baseItem="0"/>
  </dataFields>
  <chartFormats count="7">
    <chartFormat chart="25" format="3"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3" count="1" selected="0">
            <x v="0"/>
          </reference>
        </references>
      </pivotArea>
    </chartFormat>
    <chartFormat chart="29" format="7">
      <pivotArea type="data" outline="0" fieldPosition="0">
        <references count="2">
          <reference field="4294967294" count="1" selected="0">
            <x v="0"/>
          </reference>
          <reference field="3" count="1" selected="0">
            <x v="1"/>
          </reference>
        </references>
      </pivotArea>
    </chartFormat>
    <chartFormat chart="26" format="4">
      <pivotArea type="data" outline="0" fieldPosition="0">
        <references count="2">
          <reference field="4294967294" count="1" selected="0">
            <x v="0"/>
          </reference>
          <reference field="3" count="1" selected="0">
            <x v="0"/>
          </reference>
        </references>
      </pivotArea>
    </chartFormat>
    <chartFormat chart="26"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A47:C53" firstHeaderRow="0" firstDataRow="1" firstDataCol="1"/>
  <pivotFields count="9">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1">
        <item x="8"/>
        <item x="2"/>
        <item x="4"/>
        <item x="5"/>
        <item x="0"/>
        <item x="6"/>
        <item x="1"/>
        <item x="7"/>
        <item x="3"/>
        <item x="9"/>
        <item t="default"/>
      </items>
    </pivotField>
    <pivotField showAll="0"/>
    <pivotField showAll="0">
      <items count="5">
        <item x="1"/>
        <item x="3"/>
        <item x="2"/>
        <item x="0"/>
        <item t="default"/>
      </items>
    </pivotField>
    <pivotField dataField="1" showAll="0"/>
    <pivotField dataField="1" showAll="0"/>
    <pivotField showAll="0"/>
    <pivotField showAll="0" defaultSubtotal="0">
      <items count="14">
        <item h="1" sd="0" x="0"/>
        <item h="1" sd="0" x="1"/>
        <item h="1" sd="0" x="2"/>
        <item h="1" sd="0" x="3"/>
        <item sd="0" x="4"/>
        <item h="1" sd="0" x="5"/>
        <item h="1" sd="0" x="6"/>
        <item h="1" sd="0" x="7"/>
        <item h="1" sd="0" x="8"/>
        <item h="1" sd="0" x="9"/>
        <item h="1" sd="0" x="10"/>
        <item h="1" sd="0" x="11"/>
        <item h="1" sd="0" x="12"/>
        <item h="1" sd="0" x="13"/>
      </items>
    </pivotField>
  </pivotFields>
  <rowFields count="1">
    <field x="2"/>
  </rowFields>
  <rowItems count="6">
    <i>
      <x v="1"/>
    </i>
    <i>
      <x v="2"/>
    </i>
    <i>
      <x v="4"/>
    </i>
    <i>
      <x v="6"/>
    </i>
    <i>
      <x v="8"/>
    </i>
    <i t="grand">
      <x/>
    </i>
  </rowItems>
  <colFields count="1">
    <field x="-2"/>
  </colFields>
  <colItems count="2">
    <i>
      <x/>
    </i>
    <i i="1">
      <x v="1"/>
    </i>
  </colItems>
  <dataFields count="2">
    <dataField name="Sum of Profit" fld="6" baseField="0" baseItem="0"/>
    <dataField name="Sum of Sales" fld="5" baseField="0" baseItem="0"/>
  </dataFields>
  <chartFormats count="5">
    <chartFormat chart="0" format="5"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0:F34" firstHeaderRow="1" firstDataRow="2" firstDataCol="1"/>
  <pivotFields count="9">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3">
        <item x="1"/>
        <item x="0"/>
        <item t="default"/>
      </items>
    </pivotField>
    <pivotField axis="axisCol" showAll="0">
      <items count="5">
        <item x="1"/>
        <item x="3"/>
        <item x="2"/>
        <item x="0"/>
        <item t="default"/>
      </items>
    </pivotField>
    <pivotField dataField="1" showAll="0"/>
    <pivotField showAll="0"/>
    <pivotField showAll="0"/>
    <pivotField showAll="0" defaultSubtotal="0">
      <items count="14">
        <item h="1" sd="0" x="0"/>
        <item h="1" sd="0" x="1"/>
        <item h="1" sd="0" x="2"/>
        <item h="1" sd="0" x="3"/>
        <item sd="0" x="4"/>
        <item h="1" sd="0" x="5"/>
        <item h="1" sd="0" x="6"/>
        <item h="1" sd="0" x="7"/>
        <item h="1" sd="0" x="8"/>
        <item h="1" sd="0" x="9"/>
        <item h="1" sd="0" x="10"/>
        <item h="1" sd="0" x="11"/>
        <item h="1" sd="0" x="12"/>
        <item h="1" sd="0" x="13"/>
      </items>
    </pivotField>
  </pivotFields>
  <rowFields count="1">
    <field x="3"/>
  </rowFields>
  <rowItems count="3">
    <i>
      <x/>
    </i>
    <i>
      <x v="1"/>
    </i>
    <i t="grand">
      <x/>
    </i>
  </rowItems>
  <colFields count="1">
    <field x="4"/>
  </colFields>
  <colItems count="5">
    <i>
      <x/>
    </i>
    <i>
      <x v="1"/>
    </i>
    <i>
      <x v="2"/>
    </i>
    <i>
      <x v="3"/>
    </i>
    <i t="grand">
      <x/>
    </i>
  </colItems>
  <dataFields count="1">
    <dataField name="Sum of Sales" fld="5" baseField="0" baseItem="0"/>
  </dataFields>
  <chartFormats count="9">
    <chartFormat chart="0" format="4"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2"/>
          </reference>
        </references>
      </pivotArea>
    </chartFormat>
    <chartFormat chart="4"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8:B23" firstHeaderRow="1" firstDataRow="1" firstDataCol="1"/>
  <pivotFields count="9">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1"/>
        <item x="3"/>
        <item x="2"/>
        <item x="0"/>
        <item t="default"/>
      </items>
    </pivotField>
    <pivotField showAll="0"/>
    <pivotField dataField="1" showAll="0"/>
    <pivotField showAll="0"/>
    <pivotField showAll="0" defaultSubtotal="0">
      <items count="14">
        <item h="1" sd="0" x="0"/>
        <item h="1" sd="0" x="1"/>
        <item h="1" sd="0" x="2"/>
        <item h="1" sd="0" x="3"/>
        <item sd="0" x="4"/>
        <item h="1" sd="0" x="5"/>
        <item h="1" sd="0" x="6"/>
        <item h="1" sd="0" x="7"/>
        <item h="1" sd="0" x="8"/>
        <item h="1" sd="0" x="9"/>
        <item h="1" sd="0" x="10"/>
        <item h="1" sd="0" x="11"/>
        <item h="1" sd="0" x="12"/>
        <item h="1" sd="0" x="13"/>
      </items>
    </pivotField>
  </pivotFields>
  <rowFields count="1">
    <field x="4"/>
  </rowFields>
  <rowItems count="5">
    <i>
      <x/>
    </i>
    <i>
      <x v="1"/>
    </i>
    <i>
      <x v="2"/>
    </i>
    <i>
      <x v="3"/>
    </i>
    <i t="grand">
      <x/>
    </i>
  </rowItems>
  <colItems count="1">
    <i/>
  </colItems>
  <dataFields count="1">
    <dataField name="Sum of Profit" fld="6" baseField="0" baseItem="0"/>
  </dataFields>
  <chartFormats count="6">
    <chartFormat chart="0" format="5"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9">
    <queryTableFields count="8">
      <queryTableField id="1" name="Order ID" tableColumnId="17"/>
      <queryTableField id="2" name="Date " tableColumnId="18"/>
      <queryTableField id="3" name="Product" tableColumnId="19"/>
      <queryTableField id="4" name="Category" tableColumnId="20"/>
      <queryTableField id="5" name="Region" tableColumnId="21"/>
      <queryTableField id="6" name="Sales" tableColumnId="22"/>
      <queryTableField id="7" name="Profit" tableColumnId="23"/>
      <queryTableField id="8" name="Profit Margin"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13" name="PivotTable8"/>
    <pivotTable tabId="13" name="PivotTable12"/>
    <pivotTable tabId="13" name="PivotTable13"/>
    <pivotTable tabId="13" name="PivotTable31"/>
    <pivotTable tabId="13" name="PivotTable34"/>
  </pivotTables>
  <data>
    <tabular pivotCacheId="2">
      <items count="14">
        <i x="1"/>
        <i x="2"/>
        <i x="3"/>
        <i x="4" s="1"/>
        <i x="5" nd="1"/>
        <i x="6" nd="1"/>
        <i x="7" nd="1"/>
        <i x="8" nd="1"/>
        <i x="9"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startItem="5"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s 1" cache="Slicer_Months" caption="Month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4" name="Table2_2" displayName="Table2_2" ref="A1:H26" tableType="queryTable" totalsRowShown="0">
  <autoFilter ref="A1:H26"/>
  <tableColumns count="8">
    <tableColumn id="17" uniqueName="17" name="Order ID" queryTableFieldId="1" dataDxfId="7"/>
    <tableColumn id="18" uniqueName="18" name="Date " queryTableFieldId="2" dataDxfId="6"/>
    <tableColumn id="19" uniqueName="19" name="Product" queryTableFieldId="3" dataDxfId="5"/>
    <tableColumn id="20" uniqueName="20" name="Category" queryTableFieldId="4" dataDxfId="4"/>
    <tableColumn id="21" uniqueName="21" name="Region" queryTableFieldId="5" dataDxfId="3"/>
    <tableColumn id="22" uniqueName="22" name="Sales" queryTableFieldId="6" dataDxfId="2"/>
    <tableColumn id="23" uniqueName="23" name="Profit" queryTableFieldId="7" dataDxfId="1"/>
    <tableColumn id="24" uniqueName="24" name="Profit Margin"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opLeftCell="A5" workbookViewId="0">
      <selection sqref="A1:H26"/>
    </sheetView>
  </sheetViews>
  <sheetFormatPr defaultRowHeight="14.5" x14ac:dyDescent="0.35"/>
  <cols>
    <col min="1" max="1" width="10.26953125" bestFit="1" customWidth="1"/>
    <col min="2" max="2" width="10.453125" style="4" bestFit="1" customWidth="1"/>
    <col min="3" max="3" width="11.36328125" bestFit="1" customWidth="1"/>
    <col min="4" max="4" width="10.54296875" bestFit="1" customWidth="1"/>
    <col min="6" max="6" width="7.26953125" bestFit="1" customWidth="1"/>
    <col min="7" max="7" width="7.81640625" bestFit="1" customWidth="1"/>
    <col min="8" max="8" width="14.1796875" bestFit="1" customWidth="1"/>
  </cols>
  <sheetData>
    <row r="1" spans="1:8" x14ac:dyDescent="0.35">
      <c r="A1" s="1" t="s">
        <v>0</v>
      </c>
      <c r="B1" s="4" t="s">
        <v>26</v>
      </c>
      <c r="C1" s="1" t="s">
        <v>1</v>
      </c>
      <c r="D1" s="1" t="s">
        <v>2</v>
      </c>
      <c r="E1" s="1" t="s">
        <v>3</v>
      </c>
      <c r="F1" s="1" t="s">
        <v>4</v>
      </c>
      <c r="G1" s="1" t="s">
        <v>5</v>
      </c>
      <c r="H1" s="1" t="s">
        <v>22</v>
      </c>
    </row>
    <row r="2" spans="1:8" x14ac:dyDescent="0.35">
      <c r="A2" s="1">
        <v>1001</v>
      </c>
      <c r="B2" s="4">
        <v>45292</v>
      </c>
      <c r="C2" s="1" t="s">
        <v>6</v>
      </c>
      <c r="D2" s="1" t="s">
        <v>7</v>
      </c>
      <c r="E2" s="1" t="s">
        <v>8</v>
      </c>
      <c r="F2" s="1">
        <v>50000</v>
      </c>
      <c r="G2" s="1">
        <v>8000</v>
      </c>
      <c r="H2" s="1">
        <v>0.16</v>
      </c>
    </row>
    <row r="3" spans="1:8" x14ac:dyDescent="0.35">
      <c r="A3" s="1">
        <v>1002</v>
      </c>
      <c r="B3" s="4">
        <v>45293</v>
      </c>
      <c r="C3" s="1" t="s">
        <v>9</v>
      </c>
      <c r="D3" s="1" t="s">
        <v>7</v>
      </c>
      <c r="E3" s="1" t="s">
        <v>10</v>
      </c>
      <c r="F3" s="1">
        <v>30000</v>
      </c>
      <c r="G3" s="1">
        <v>5000</v>
      </c>
      <c r="H3" s="1">
        <v>0.16666666666666666</v>
      </c>
    </row>
    <row r="4" spans="1:8" x14ac:dyDescent="0.35">
      <c r="A4" s="1">
        <v>1003</v>
      </c>
      <c r="B4" s="4">
        <v>45294</v>
      </c>
      <c r="C4" s="1" t="s">
        <v>11</v>
      </c>
      <c r="D4" s="1" t="s">
        <v>12</v>
      </c>
      <c r="E4" s="1" t="s">
        <v>13</v>
      </c>
      <c r="F4" s="1">
        <v>7000</v>
      </c>
      <c r="G4" s="1">
        <v>1000</v>
      </c>
      <c r="H4" s="1">
        <v>0.14285714285714285</v>
      </c>
    </row>
    <row r="5" spans="1:8" x14ac:dyDescent="0.35">
      <c r="A5" s="1">
        <v>1004</v>
      </c>
      <c r="B5" s="4">
        <v>45295</v>
      </c>
      <c r="C5" s="1" t="s">
        <v>14</v>
      </c>
      <c r="D5" s="1" t="s">
        <v>12</v>
      </c>
      <c r="E5" s="1" t="s">
        <v>15</v>
      </c>
      <c r="F5" s="1">
        <v>12000</v>
      </c>
      <c r="G5" s="1">
        <v>2000</v>
      </c>
      <c r="H5" s="1">
        <v>0.16666666666666666</v>
      </c>
    </row>
    <row r="6" spans="1:8" x14ac:dyDescent="0.35">
      <c r="A6" s="1">
        <v>1005</v>
      </c>
      <c r="B6" s="4">
        <v>45296</v>
      </c>
      <c r="C6" s="1" t="s">
        <v>16</v>
      </c>
      <c r="D6" s="1" t="s">
        <v>7</v>
      </c>
      <c r="E6" s="1" t="s">
        <v>8</v>
      </c>
      <c r="F6" s="1">
        <v>5000</v>
      </c>
      <c r="G6" s="1">
        <v>1200</v>
      </c>
      <c r="H6" s="1">
        <v>0.24</v>
      </c>
    </row>
    <row r="7" spans="1:8" x14ac:dyDescent="0.35">
      <c r="A7" s="1">
        <v>1006</v>
      </c>
      <c r="B7" s="4">
        <v>45297</v>
      </c>
      <c r="C7" s="1" t="s">
        <v>17</v>
      </c>
      <c r="D7" s="1" t="s">
        <v>7</v>
      </c>
      <c r="E7" s="1" t="s">
        <v>10</v>
      </c>
      <c r="F7" s="1">
        <v>3000</v>
      </c>
      <c r="G7" s="1">
        <v>800</v>
      </c>
      <c r="H7" s="1">
        <v>0.26666666666666666</v>
      </c>
    </row>
    <row r="8" spans="1:8" x14ac:dyDescent="0.35">
      <c r="A8" s="1">
        <v>1007</v>
      </c>
      <c r="B8" s="4">
        <v>45298</v>
      </c>
      <c r="C8" s="1" t="s">
        <v>18</v>
      </c>
      <c r="D8" s="1" t="s">
        <v>7</v>
      </c>
      <c r="E8" s="1" t="s">
        <v>13</v>
      </c>
      <c r="F8" s="1">
        <v>2000</v>
      </c>
      <c r="G8" s="1">
        <v>500</v>
      </c>
      <c r="H8" s="1">
        <v>0.25</v>
      </c>
    </row>
    <row r="9" spans="1:8" x14ac:dyDescent="0.35">
      <c r="A9" s="1">
        <v>1008</v>
      </c>
      <c r="B9" s="4">
        <v>45299</v>
      </c>
      <c r="C9" s="1" t="s">
        <v>19</v>
      </c>
      <c r="D9" s="1" t="s">
        <v>12</v>
      </c>
      <c r="E9" s="1" t="s">
        <v>8</v>
      </c>
      <c r="F9" s="1">
        <v>25000</v>
      </c>
      <c r="G9" s="1">
        <v>4000</v>
      </c>
      <c r="H9" s="1">
        <v>0.16</v>
      </c>
    </row>
    <row r="10" spans="1:8" x14ac:dyDescent="0.35">
      <c r="A10" s="1">
        <v>1009</v>
      </c>
      <c r="B10" s="4">
        <v>45300</v>
      </c>
      <c r="C10" s="1" t="s">
        <v>20</v>
      </c>
      <c r="D10" s="1" t="s">
        <v>12</v>
      </c>
      <c r="E10" s="1" t="s">
        <v>15</v>
      </c>
      <c r="F10" s="1">
        <v>40000</v>
      </c>
      <c r="G10" s="1">
        <v>7000</v>
      </c>
      <c r="H10" s="1">
        <v>0.17499999999999999</v>
      </c>
    </row>
    <row r="11" spans="1:8" x14ac:dyDescent="0.35">
      <c r="A11" s="1">
        <v>1010</v>
      </c>
      <c r="B11" s="4">
        <v>45301</v>
      </c>
      <c r="C11" s="1" t="s">
        <v>21</v>
      </c>
      <c r="D11" s="1" t="s">
        <v>7</v>
      </c>
      <c r="E11" s="1" t="s">
        <v>10</v>
      </c>
      <c r="F11" s="1">
        <v>20000</v>
      </c>
      <c r="G11" s="1">
        <v>3500</v>
      </c>
      <c r="H11" s="1">
        <v>0.17499999999999999</v>
      </c>
    </row>
    <row r="12" spans="1:8" x14ac:dyDescent="0.35">
      <c r="A12" s="1">
        <v>1011</v>
      </c>
      <c r="B12" s="4">
        <v>45333</v>
      </c>
      <c r="C12" s="1" t="s">
        <v>6</v>
      </c>
      <c r="D12" s="1" t="s">
        <v>7</v>
      </c>
      <c r="E12" s="1" t="s">
        <v>13</v>
      </c>
      <c r="F12" s="1">
        <v>55000</v>
      </c>
      <c r="G12" s="1">
        <v>9000</v>
      </c>
      <c r="H12" s="1">
        <v>0.16363636363636364</v>
      </c>
    </row>
    <row r="13" spans="1:8" x14ac:dyDescent="0.35">
      <c r="A13" s="1">
        <v>1012</v>
      </c>
      <c r="B13" s="4">
        <v>45334</v>
      </c>
      <c r="C13" s="1" t="s">
        <v>11</v>
      </c>
      <c r="D13" s="1" t="s">
        <v>12</v>
      </c>
      <c r="E13" s="1" t="s">
        <v>8</v>
      </c>
      <c r="F13" s="1">
        <v>8000</v>
      </c>
      <c r="G13" s="1">
        <v>1200</v>
      </c>
      <c r="H13" s="1">
        <v>0.15</v>
      </c>
    </row>
    <row r="14" spans="1:8" x14ac:dyDescent="0.35">
      <c r="A14" s="1">
        <v>1013</v>
      </c>
      <c r="B14" s="4">
        <v>45335</v>
      </c>
      <c r="C14" s="1" t="s">
        <v>9</v>
      </c>
      <c r="D14" s="1" t="s">
        <v>7</v>
      </c>
      <c r="E14" s="1" t="s">
        <v>15</v>
      </c>
      <c r="F14" s="1">
        <v>32000</v>
      </c>
      <c r="G14" s="1">
        <v>6000</v>
      </c>
      <c r="H14" s="1">
        <v>0.1875</v>
      </c>
    </row>
    <row r="15" spans="1:8" x14ac:dyDescent="0.35">
      <c r="A15" s="1">
        <v>1014</v>
      </c>
      <c r="B15" s="4">
        <v>45336</v>
      </c>
      <c r="C15" s="1" t="s">
        <v>14</v>
      </c>
      <c r="D15" s="1" t="s">
        <v>12</v>
      </c>
      <c r="E15" s="1" t="s">
        <v>13</v>
      </c>
      <c r="F15" s="1">
        <v>15000</v>
      </c>
      <c r="G15" s="1">
        <v>2500</v>
      </c>
      <c r="H15" s="1">
        <v>0.16666666666666666</v>
      </c>
    </row>
    <row r="16" spans="1:8" x14ac:dyDescent="0.35">
      <c r="A16" s="1">
        <v>1015</v>
      </c>
      <c r="B16" s="4">
        <v>45337</v>
      </c>
      <c r="C16" s="1" t="s">
        <v>16</v>
      </c>
      <c r="D16" s="1" t="s">
        <v>7</v>
      </c>
      <c r="E16" s="1" t="s">
        <v>10</v>
      </c>
      <c r="F16" s="1">
        <v>6000</v>
      </c>
      <c r="G16" s="1">
        <v>1500</v>
      </c>
      <c r="H16" s="1">
        <v>0.25</v>
      </c>
    </row>
    <row r="17" spans="1:8" x14ac:dyDescent="0.35">
      <c r="A17" s="1">
        <v>1016</v>
      </c>
      <c r="B17" s="4">
        <v>45367</v>
      </c>
      <c r="C17" s="1" t="s">
        <v>19</v>
      </c>
      <c r="D17" s="1" t="s">
        <v>12</v>
      </c>
      <c r="E17" s="1" t="s">
        <v>15</v>
      </c>
      <c r="F17" s="1">
        <v>27000</v>
      </c>
      <c r="G17" s="1">
        <v>4500</v>
      </c>
      <c r="H17" s="1">
        <v>0.16666666666666666</v>
      </c>
    </row>
    <row r="18" spans="1:8" x14ac:dyDescent="0.35">
      <c r="A18" s="1">
        <v>1017</v>
      </c>
      <c r="B18" s="4">
        <v>45368</v>
      </c>
      <c r="C18" s="1" t="s">
        <v>17</v>
      </c>
      <c r="D18" s="1" t="s">
        <v>7</v>
      </c>
      <c r="E18" s="1" t="s">
        <v>8</v>
      </c>
      <c r="F18" s="1">
        <v>3500</v>
      </c>
      <c r="G18" s="1">
        <v>900</v>
      </c>
      <c r="H18" s="1">
        <v>0.25714285714285712</v>
      </c>
    </row>
    <row r="19" spans="1:8" x14ac:dyDescent="0.35">
      <c r="A19" s="1">
        <v>1018</v>
      </c>
      <c r="B19" s="4">
        <v>45369</v>
      </c>
      <c r="C19" s="1" t="s">
        <v>18</v>
      </c>
      <c r="D19" s="1" t="s">
        <v>7</v>
      </c>
      <c r="E19" s="1" t="s">
        <v>10</v>
      </c>
      <c r="F19" s="1">
        <v>2500</v>
      </c>
      <c r="G19" s="1">
        <v>600</v>
      </c>
      <c r="H19" s="1">
        <v>0.24</v>
      </c>
    </row>
    <row r="20" spans="1:8" x14ac:dyDescent="0.35">
      <c r="A20" s="1">
        <v>1019</v>
      </c>
      <c r="B20" s="4">
        <v>45370</v>
      </c>
      <c r="C20" s="1" t="s">
        <v>20</v>
      </c>
      <c r="D20" s="1" t="s">
        <v>12</v>
      </c>
      <c r="E20" s="1" t="s">
        <v>13</v>
      </c>
      <c r="F20" s="1">
        <v>42000</v>
      </c>
      <c r="G20" s="1">
        <v>7500</v>
      </c>
      <c r="H20" s="1">
        <v>0.17857142857142858</v>
      </c>
    </row>
    <row r="21" spans="1:8" x14ac:dyDescent="0.35">
      <c r="A21" s="1">
        <v>1020</v>
      </c>
      <c r="B21" s="4">
        <v>45371</v>
      </c>
      <c r="C21" s="1" t="s">
        <v>21</v>
      </c>
      <c r="D21" s="1" t="s">
        <v>7</v>
      </c>
      <c r="E21" s="1" t="s">
        <v>8</v>
      </c>
      <c r="F21" s="1">
        <v>22000</v>
      </c>
      <c r="G21" s="1">
        <v>4000</v>
      </c>
      <c r="H21" s="1">
        <v>0.18181818181818182</v>
      </c>
    </row>
    <row r="22" spans="1:8" x14ac:dyDescent="0.35">
      <c r="A22" s="1">
        <v>1021</v>
      </c>
      <c r="B22" s="4">
        <v>45403</v>
      </c>
      <c r="C22" s="1" t="s">
        <v>6</v>
      </c>
      <c r="D22" s="1" t="s">
        <v>7</v>
      </c>
      <c r="E22" s="1" t="s">
        <v>15</v>
      </c>
      <c r="F22" s="1">
        <v>60000</v>
      </c>
      <c r="G22" s="1">
        <v>10000</v>
      </c>
      <c r="H22" s="1">
        <v>0.16666666666666666</v>
      </c>
    </row>
    <row r="23" spans="1:8" x14ac:dyDescent="0.35">
      <c r="A23" s="1">
        <v>1022</v>
      </c>
      <c r="B23" s="4">
        <v>45404</v>
      </c>
      <c r="C23" s="1" t="s">
        <v>11</v>
      </c>
      <c r="D23" s="1" t="s">
        <v>12</v>
      </c>
      <c r="E23" s="1" t="s">
        <v>10</v>
      </c>
      <c r="F23" s="1">
        <v>7500</v>
      </c>
      <c r="G23" s="1">
        <v>1100</v>
      </c>
      <c r="H23" s="1">
        <v>0.14666666666666667</v>
      </c>
    </row>
    <row r="24" spans="1:8" x14ac:dyDescent="0.35">
      <c r="A24" s="1">
        <v>1023</v>
      </c>
      <c r="B24" s="4">
        <v>45405</v>
      </c>
      <c r="C24" s="1" t="s">
        <v>9</v>
      </c>
      <c r="D24" s="1" t="s">
        <v>7</v>
      </c>
      <c r="E24" s="1" t="s">
        <v>13</v>
      </c>
      <c r="F24" s="1">
        <v>28000</v>
      </c>
      <c r="G24" s="1">
        <v>4800</v>
      </c>
      <c r="H24" s="1">
        <v>0.17142857142857143</v>
      </c>
    </row>
    <row r="25" spans="1:8" x14ac:dyDescent="0.35">
      <c r="A25" s="1">
        <v>1024</v>
      </c>
      <c r="B25" s="4">
        <v>45406</v>
      </c>
      <c r="C25" s="1" t="s">
        <v>14</v>
      </c>
      <c r="D25" s="1" t="s">
        <v>12</v>
      </c>
      <c r="E25" s="1" t="s">
        <v>8</v>
      </c>
      <c r="F25" s="1">
        <v>14000</v>
      </c>
      <c r="G25" s="1">
        <v>2300</v>
      </c>
      <c r="H25" s="1">
        <v>0.16428571428571428</v>
      </c>
    </row>
    <row r="26" spans="1:8" x14ac:dyDescent="0.35">
      <c r="A26" s="1">
        <v>1025</v>
      </c>
      <c r="B26" s="4">
        <v>45407</v>
      </c>
      <c r="C26" s="1" t="s">
        <v>16</v>
      </c>
      <c r="D26" s="1" t="s">
        <v>7</v>
      </c>
      <c r="E26" s="1" t="s">
        <v>15</v>
      </c>
      <c r="F26" s="1">
        <v>5500</v>
      </c>
      <c r="G26" s="1">
        <v>1300</v>
      </c>
      <c r="H26" s="1">
        <v>0.23636363636363636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69"/>
  <sheetViews>
    <sheetView topLeftCell="A25" workbookViewId="0">
      <selection activeCell="F8" sqref="F8"/>
    </sheetView>
  </sheetViews>
  <sheetFormatPr defaultRowHeight="14.5" x14ac:dyDescent="0.35"/>
  <cols>
    <col min="1" max="1" width="12.36328125" customWidth="1"/>
    <col min="2" max="3" width="11.26953125" customWidth="1"/>
    <col min="4" max="5" width="5.81640625" customWidth="1"/>
    <col min="6" max="6" width="10.7265625" bestFit="1" customWidth="1"/>
  </cols>
  <sheetData>
    <row r="3" spans="1:2" x14ac:dyDescent="0.35">
      <c r="A3" s="2" t="s">
        <v>24</v>
      </c>
      <c r="B3" t="s">
        <v>23</v>
      </c>
    </row>
    <row r="4" spans="1:2" x14ac:dyDescent="0.35">
      <c r="A4" s="3" t="s">
        <v>29</v>
      </c>
      <c r="B4" s="1">
        <v>115000</v>
      </c>
    </row>
    <row r="5" spans="1:2" x14ac:dyDescent="0.35">
      <c r="A5" s="3" t="s">
        <v>25</v>
      </c>
      <c r="B5" s="1">
        <v>115000</v>
      </c>
    </row>
    <row r="18" spans="1:6" x14ac:dyDescent="0.35">
      <c r="A18" s="2" t="s">
        <v>24</v>
      </c>
      <c r="B18" t="s">
        <v>27</v>
      </c>
    </row>
    <row r="19" spans="1:6" x14ac:dyDescent="0.35">
      <c r="A19" s="3" t="s">
        <v>10</v>
      </c>
      <c r="B19" s="1">
        <v>1100</v>
      </c>
    </row>
    <row r="20" spans="1:6" x14ac:dyDescent="0.35">
      <c r="A20" s="3" t="s">
        <v>15</v>
      </c>
      <c r="B20" s="1">
        <v>11300</v>
      </c>
    </row>
    <row r="21" spans="1:6" x14ac:dyDescent="0.35">
      <c r="A21" s="3" t="s">
        <v>13</v>
      </c>
      <c r="B21" s="1">
        <v>4800</v>
      </c>
    </row>
    <row r="22" spans="1:6" x14ac:dyDescent="0.35">
      <c r="A22" s="3" t="s">
        <v>8</v>
      </c>
      <c r="B22" s="1">
        <v>2300</v>
      </c>
    </row>
    <row r="23" spans="1:6" x14ac:dyDescent="0.35">
      <c r="A23" s="3" t="s">
        <v>25</v>
      </c>
      <c r="B23" s="1">
        <v>19500</v>
      </c>
    </row>
    <row r="30" spans="1:6" x14ac:dyDescent="0.35">
      <c r="A30" s="2" t="s">
        <v>23</v>
      </c>
      <c r="B30" s="2" t="s">
        <v>28</v>
      </c>
    </row>
    <row r="31" spans="1:6" x14ac:dyDescent="0.35">
      <c r="A31" s="2" t="s">
        <v>24</v>
      </c>
      <c r="B31" t="s">
        <v>10</v>
      </c>
      <c r="C31" t="s">
        <v>15</v>
      </c>
      <c r="D31" t="s">
        <v>13</v>
      </c>
      <c r="E31" t="s">
        <v>8</v>
      </c>
      <c r="F31" t="s">
        <v>25</v>
      </c>
    </row>
    <row r="32" spans="1:6" x14ac:dyDescent="0.35">
      <c r="A32" s="3" t="s">
        <v>12</v>
      </c>
      <c r="B32" s="1">
        <v>7500</v>
      </c>
      <c r="C32" s="1"/>
      <c r="D32" s="1"/>
      <c r="E32" s="1">
        <v>14000</v>
      </c>
      <c r="F32" s="1">
        <v>21500</v>
      </c>
    </row>
    <row r="33" spans="1:6" x14ac:dyDescent="0.35">
      <c r="A33" s="3" t="s">
        <v>7</v>
      </c>
      <c r="B33" s="1"/>
      <c r="C33" s="1">
        <v>65500</v>
      </c>
      <c r="D33" s="1">
        <v>28000</v>
      </c>
      <c r="E33" s="1"/>
      <c r="F33" s="1">
        <v>93500</v>
      </c>
    </row>
    <row r="34" spans="1:6" x14ac:dyDescent="0.35">
      <c r="A34" s="3" t="s">
        <v>25</v>
      </c>
      <c r="B34" s="1">
        <v>7500</v>
      </c>
      <c r="C34" s="1">
        <v>65500</v>
      </c>
      <c r="D34" s="1">
        <v>28000</v>
      </c>
      <c r="E34" s="1">
        <v>14000</v>
      </c>
      <c r="F34" s="1">
        <v>115000</v>
      </c>
    </row>
    <row r="47" spans="1:6" x14ac:dyDescent="0.35">
      <c r="A47" s="2" t="s">
        <v>24</v>
      </c>
      <c r="B47" t="s">
        <v>27</v>
      </c>
      <c r="C47" t="s">
        <v>23</v>
      </c>
    </row>
    <row r="48" spans="1:6" x14ac:dyDescent="0.35">
      <c r="A48" s="3" t="s">
        <v>11</v>
      </c>
      <c r="B48" s="1">
        <v>1100</v>
      </c>
      <c r="C48" s="1">
        <v>7500</v>
      </c>
    </row>
    <row r="49" spans="1:3" x14ac:dyDescent="0.35">
      <c r="A49" s="3" t="s">
        <v>16</v>
      </c>
      <c r="B49" s="1">
        <v>1300</v>
      </c>
      <c r="C49" s="1">
        <v>5500</v>
      </c>
    </row>
    <row r="50" spans="1:3" x14ac:dyDescent="0.35">
      <c r="A50" s="3" t="s">
        <v>6</v>
      </c>
      <c r="B50" s="1">
        <v>10000</v>
      </c>
      <c r="C50" s="1">
        <v>60000</v>
      </c>
    </row>
    <row r="51" spans="1:3" x14ac:dyDescent="0.35">
      <c r="A51" s="3" t="s">
        <v>9</v>
      </c>
      <c r="B51" s="1">
        <v>4800</v>
      </c>
      <c r="C51" s="1">
        <v>28000</v>
      </c>
    </row>
    <row r="52" spans="1:3" x14ac:dyDescent="0.35">
      <c r="A52" s="3" t="s">
        <v>14</v>
      </c>
      <c r="B52" s="1">
        <v>2300</v>
      </c>
      <c r="C52" s="1">
        <v>14000</v>
      </c>
    </row>
    <row r="53" spans="1:3" x14ac:dyDescent="0.35">
      <c r="A53" s="3" t="s">
        <v>25</v>
      </c>
      <c r="B53" s="1">
        <v>19500</v>
      </c>
      <c r="C53" s="1">
        <v>115000</v>
      </c>
    </row>
    <row r="66" spans="1:2" x14ac:dyDescent="0.35">
      <c r="A66" s="2" t="s">
        <v>24</v>
      </c>
      <c r="B66" t="s">
        <v>23</v>
      </c>
    </row>
    <row r="67" spans="1:2" x14ac:dyDescent="0.35">
      <c r="A67" s="3" t="s">
        <v>12</v>
      </c>
      <c r="B67" s="1">
        <v>21500</v>
      </c>
    </row>
    <row r="68" spans="1:2" x14ac:dyDescent="0.35">
      <c r="A68" s="3" t="s">
        <v>7</v>
      </c>
      <c r="B68" s="1">
        <v>93500</v>
      </c>
    </row>
    <row r="69" spans="1:2" x14ac:dyDescent="0.35">
      <c r="A69" s="3" t="s">
        <v>25</v>
      </c>
      <c r="B69" s="1">
        <v>115000</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2" zoomScale="86" zoomScaleNormal="86" workbookViewId="0">
      <selection activeCell="R7" sqref="R7"/>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089983-E7FC-4B40-BA37-59222F21E2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2026-04-27T09:23:12Z</cp:lastPrinted>
  <dcterms:created xsi:type="dcterms:W3CDTF">2026-03-24T15:17:33Z</dcterms:created>
  <dcterms:modified xsi:type="dcterms:W3CDTF">2026-04-27T09:39:30Z</dcterms:modified>
</cp:coreProperties>
</file>